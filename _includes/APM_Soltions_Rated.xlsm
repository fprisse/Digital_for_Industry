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s\joprisse\Documents\GitHub\Digital_for_Industry\_includes\"/>
    </mc:Choice>
  </mc:AlternateContent>
  <xr:revisionPtr revIDLastSave="0" documentId="8_{9B1B1CA9-31B0-4ADC-BBD1-892C324332FB}" xr6:coauthVersionLast="34" xr6:coauthVersionMax="34" xr10:uidLastSave="{00000000-0000-0000-0000-000000000000}"/>
  <bookViews>
    <workbookView xWindow="0" yWindow="0" windowWidth="20490" windowHeight="7545" xr2:uid="{32945FD4-AE22-4F63-9C10-49DF82896295}"/>
  </bookViews>
  <sheets>
    <sheet name="Rating Chart" sheetId="1" r:id="rId1"/>
    <sheet name="Short -Reports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K44" i="1"/>
  <c r="K39" i="1"/>
  <c r="K32" i="1"/>
  <c r="K25" i="1"/>
  <c r="K19" i="1"/>
  <c r="K9" i="1"/>
  <c r="H19" i="1"/>
  <c r="E9" i="1"/>
  <c r="F9" i="1"/>
  <c r="G9" i="1"/>
  <c r="H9" i="1"/>
  <c r="I9" i="1"/>
  <c r="J9" i="1"/>
  <c r="L9" i="1"/>
  <c r="M9" i="1"/>
  <c r="N9" i="1"/>
  <c r="O9" i="1"/>
  <c r="P9" i="1"/>
  <c r="Q9" i="1"/>
  <c r="E4" i="1"/>
  <c r="F4" i="1"/>
  <c r="G4" i="1"/>
  <c r="H4" i="1"/>
  <c r="I4" i="1"/>
  <c r="J4" i="1"/>
  <c r="L4" i="1"/>
  <c r="M4" i="1"/>
  <c r="N4" i="1"/>
  <c r="O4" i="1"/>
  <c r="P4" i="1"/>
  <c r="Q4" i="1"/>
  <c r="O50" i="1"/>
  <c r="P50" i="1"/>
  <c r="Q50" i="1"/>
  <c r="Q55" i="1"/>
  <c r="Q44" i="1"/>
  <c r="Q39" i="1"/>
  <c r="Q32" i="1"/>
  <c r="Q25" i="1"/>
  <c r="Q19" i="1"/>
  <c r="E55" i="1"/>
  <c r="E50" i="1"/>
  <c r="E44" i="1"/>
  <c r="E39" i="1"/>
  <c r="E32" i="1"/>
  <c r="E19" i="1"/>
  <c r="F19" i="1"/>
  <c r="G19" i="1"/>
  <c r="I19" i="1"/>
  <c r="J19" i="1"/>
  <c r="L19" i="1"/>
  <c r="M19" i="1"/>
  <c r="N19" i="1"/>
  <c r="O19" i="1"/>
  <c r="P19" i="1"/>
  <c r="D19" i="1"/>
  <c r="D4" i="1"/>
  <c r="E25" i="1"/>
  <c r="F25" i="1"/>
  <c r="M50" i="1"/>
  <c r="M55" i="1"/>
  <c r="F55" i="1"/>
  <c r="H55" i="1"/>
  <c r="I55" i="1"/>
  <c r="J55" i="1"/>
  <c r="L55" i="1"/>
  <c r="N55" i="1"/>
  <c r="O55" i="1"/>
  <c r="P55" i="1"/>
  <c r="F50" i="1"/>
  <c r="H50" i="1"/>
  <c r="I50" i="1"/>
  <c r="J50" i="1"/>
  <c r="L50" i="1"/>
  <c r="N50" i="1"/>
  <c r="F44" i="1"/>
  <c r="H44" i="1"/>
  <c r="I44" i="1"/>
  <c r="J44" i="1"/>
  <c r="L44" i="1"/>
  <c r="N44" i="1"/>
  <c r="O44" i="1"/>
  <c r="P44" i="1"/>
  <c r="F39" i="1"/>
  <c r="H39" i="1"/>
  <c r="I39" i="1"/>
  <c r="J39" i="1"/>
  <c r="L39" i="1"/>
  <c r="N39" i="1"/>
  <c r="O39" i="1"/>
  <c r="P39" i="1"/>
  <c r="F32" i="1"/>
  <c r="H32" i="1"/>
  <c r="I32" i="1"/>
  <c r="J32" i="1"/>
  <c r="L32" i="1"/>
  <c r="N32" i="1"/>
  <c r="O32" i="1"/>
  <c r="P32" i="1"/>
  <c r="H25" i="1"/>
  <c r="I25" i="1"/>
  <c r="J25" i="1"/>
  <c r="L25" i="1"/>
  <c r="N25" i="1"/>
  <c r="O25" i="1"/>
  <c r="P25" i="1"/>
  <c r="D55" i="1"/>
  <c r="D50" i="1"/>
  <c r="D44" i="1"/>
  <c r="D39" i="1"/>
  <c r="D32" i="1"/>
  <c r="D25" i="1"/>
  <c r="D9" i="1"/>
</calcChain>
</file>

<file path=xl/sharedStrings.xml><?xml version="1.0" encoding="utf-8"?>
<sst xmlns="http://schemas.openxmlformats.org/spreadsheetml/2006/main" count="91" uniqueCount="89">
  <si>
    <t>Provided in both event as stored format</t>
  </si>
  <si>
    <t>Environmental Data</t>
  </si>
  <si>
    <t>Asset tree</t>
  </si>
  <si>
    <t>As-built documentation</t>
  </si>
  <si>
    <t>Asset dependency tables*</t>
  </si>
  <si>
    <t>Tools to build predictive models</t>
  </si>
  <si>
    <t>Correlation, Regression &amp; Clustering</t>
  </si>
  <si>
    <t>Display geographic dispersion of assets</t>
  </si>
  <si>
    <t>Customizable Templates</t>
  </si>
  <si>
    <t>Web-based &amp; Interactive</t>
  </si>
  <si>
    <t>Distributable format</t>
  </si>
  <si>
    <t>EAM (Maintenance planning &amp; execution)</t>
  </si>
  <si>
    <t>Environmental data (API)</t>
  </si>
  <si>
    <t>Data Model: Collect and Make Available</t>
  </si>
  <si>
    <t>Maintenance: WO records, Regimes, Inspection reports</t>
  </si>
  <si>
    <t>Operations: Performance, Raw Materials, Product Specs.</t>
  </si>
  <si>
    <t>Quality Management: Quality reports, Rejects</t>
  </si>
  <si>
    <t>Machine data eg. RPM, Amps, Vibration</t>
  </si>
  <si>
    <t>Extra sensor data</t>
  </si>
  <si>
    <t>Predictive Analysis Workbench</t>
  </si>
  <si>
    <t>Exportable Probality Models</t>
  </si>
  <si>
    <t>Model implementation (automated analysis &amp; alarms)</t>
  </si>
  <si>
    <t>Reporting and Publishing Tools</t>
  </si>
  <si>
    <t>Asset Health Dashboard</t>
  </si>
  <si>
    <t>Score: Asset health (LOF)</t>
  </si>
  <si>
    <t>Act on events: Alarms &amp; notifications</t>
  </si>
  <si>
    <t>Attribution of alarms to relevant discipline</t>
  </si>
  <si>
    <t>Create events: workorders &amp; re-scheduling</t>
  </si>
  <si>
    <t>Platform &amp; application governance</t>
  </si>
  <si>
    <t>Multivariate analysis skills</t>
  </si>
  <si>
    <t>Procured training &amp; specialist support</t>
  </si>
  <si>
    <t>Performance management systems (OEE, Product data &amp; Quality)</t>
  </si>
  <si>
    <t>Machine bus</t>
  </si>
  <si>
    <t>IoT sensors</t>
  </si>
  <si>
    <t>Cross discipline concept</t>
  </si>
  <si>
    <t>Capgemini Smart Asset</t>
  </si>
  <si>
    <t>Templates for Parts, Machines and Lines</t>
  </si>
  <si>
    <t>Failure data library (relevant for some industries)</t>
  </si>
  <si>
    <t>GE Predix APM</t>
  </si>
  <si>
    <t>Contracting</t>
  </si>
  <si>
    <t>Platform independence</t>
  </si>
  <si>
    <t>Uptake APT (PRELIMINARY)</t>
  </si>
  <si>
    <t>Telme Plus (PRELIMINARY)</t>
  </si>
  <si>
    <t>Optime Data (PRELMINARY)</t>
  </si>
  <si>
    <t>?</t>
  </si>
  <si>
    <t>Sogeti Predictive Maintenance</t>
  </si>
  <si>
    <t>Sogeti Connectivity Suite</t>
  </si>
  <si>
    <t>Pricing (entry)</t>
  </si>
  <si>
    <t>Pricing (Volume)</t>
  </si>
  <si>
    <t>IBM PM Solutions</t>
  </si>
  <si>
    <t>IBM Cloud APM Suite</t>
  </si>
  <si>
    <t>Static data repository :</t>
  </si>
  <si>
    <t xml:space="preserve"> Shared or synchronized</t>
  </si>
  <si>
    <t>IBM On Prem (Preliminary)</t>
  </si>
  <si>
    <t>Connectivity (High tech)</t>
  </si>
  <si>
    <t>Advanced Analytics Capability (I&amp;D)</t>
  </si>
  <si>
    <t>Capgemini I&amp;D Offer</t>
  </si>
  <si>
    <t>Likelihood of Failure (Risk)</t>
  </si>
  <si>
    <t>Criticality: Impact of undesirable event (Weight)</t>
  </si>
  <si>
    <t>Condition Monitoring (Operating Window)</t>
  </si>
  <si>
    <r>
      <rPr>
        <b/>
        <sz val="11"/>
        <color theme="1"/>
        <rFont val="Calibri"/>
        <family val="2"/>
        <scheme val="minor"/>
      </rPr>
      <t>Confidence:</t>
    </r>
    <r>
      <rPr>
        <sz val="11"/>
        <color theme="1"/>
        <rFont val="Calibri"/>
        <family val="2"/>
        <scheme val="minor"/>
      </rPr>
      <t xml:space="preserve"> Time to Threshold (Hours)</t>
    </r>
  </si>
  <si>
    <t>Siemens</t>
  </si>
  <si>
    <t>Engie</t>
  </si>
  <si>
    <t>Schneider Electric</t>
  </si>
  <si>
    <t>Does 4 things:</t>
  </si>
  <si>
    <t>Analytics: Multidimensional Regression</t>
  </si>
  <si>
    <t>Data Collection: Repository</t>
  </si>
  <si>
    <t>Train the model (having my doubts, because I miss intervention data feed-in)</t>
  </si>
  <si>
    <t>OptimeDAta (recommended by stephane Blanda)</t>
  </si>
  <si>
    <t>Are part of Ecosytem of machine/bus builders:</t>
  </si>
  <si>
    <t>What is Special ?</t>
  </si>
  <si>
    <t>It impacts the intervention: Can be used for operator intervention in hands on production lines. Getting the right man at the right place to correct anomalies. At the same time: This is reactive !</t>
  </si>
  <si>
    <t>What is not so special ?</t>
  </si>
  <si>
    <t>It is all about analysing &amp; presenting sensory data, does not seem to provide for engineering planning and compliance intergration.</t>
  </si>
  <si>
    <t>Attribute alerts to People (very nice)</t>
  </si>
  <si>
    <t>SKF (really?  check with Eriks SHV People)</t>
  </si>
  <si>
    <t>What is not so Special ?</t>
  </si>
  <si>
    <t>Data Preparation</t>
  </si>
  <si>
    <t>Predictive Modeling Tooling (map dependencieso multiple factors)</t>
  </si>
  <si>
    <t>Performance Monitoring (built for electronics.. )</t>
  </si>
  <si>
    <t>Make deployable algorithms (very nice !)</t>
  </si>
  <si>
    <t>What is Special</t>
  </si>
  <si>
    <t>Can create algorithms that can be deployed in Control Systems (PLC / DCCS / Control Rooms)</t>
  </si>
  <si>
    <t>Is about improving the machines</t>
  </si>
  <si>
    <t>What is not so special:</t>
  </si>
  <si>
    <t>Has an breakdown point of view rather than performance (i think)</t>
  </si>
  <si>
    <t>TelmePlus (Recommende by Stephane Blanda)</t>
  </si>
  <si>
    <t>Short Reports</t>
  </si>
  <si>
    <t>Azure Connected Factory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</si>
</sst>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8" formatCode="_ * #,##0.0_ ;_ * \-#,##0.0_ ;_ * &quot;-&quot;??_ ;_ @_ "/>
    <numFmt numFmtId="169" formatCode="_ * #,##0_ ;_ * \-#,##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55">
    <xf numFmtId="0" fontId="0" fillId="0" borderId="0" xfId="0"/>
    <xf numFmtId="0" fontId="0" fillId="0" borderId="0" xfId="0" applyFill="1"/>
    <xf numFmtId="168" fontId="0" fillId="0" borderId="0" xfId="1" applyNumberFormat="1" applyFont="1" applyAlignment="1">
      <alignment textRotation="45"/>
    </xf>
    <xf numFmtId="168" fontId="0" fillId="4" borderId="2" xfId="1" applyNumberFormat="1" applyFont="1" applyFill="1" applyBorder="1" applyAlignment="1">
      <alignment horizontal="center" textRotation="90"/>
    </xf>
    <xf numFmtId="168" fontId="0" fillId="0" borderId="2" xfId="1" applyNumberFormat="1" applyFont="1" applyBorder="1" applyAlignment="1">
      <alignment horizontal="center" textRotation="90"/>
    </xf>
    <xf numFmtId="168" fontId="0" fillId="6" borderId="2" xfId="1" applyNumberFormat="1" applyFont="1" applyFill="1" applyBorder="1" applyAlignment="1">
      <alignment horizontal="center" textRotation="90"/>
    </xf>
    <xf numFmtId="168" fontId="0" fillId="5" borderId="2" xfId="1" applyNumberFormat="1" applyFont="1" applyFill="1" applyBorder="1" applyAlignment="1">
      <alignment horizontal="center" textRotation="90"/>
    </xf>
    <xf numFmtId="168" fontId="1" fillId="4" borderId="2" xfId="1" applyNumberFormat="1" applyFill="1" applyBorder="1" applyAlignment="1">
      <alignment horizontal="center" textRotation="90"/>
    </xf>
    <xf numFmtId="168" fontId="1" fillId="4" borderId="1" xfId="1" applyNumberFormat="1" applyFill="1" applyBorder="1" applyAlignment="1">
      <alignment horizontal="center" textRotation="90"/>
    </xf>
    <xf numFmtId="168" fontId="0" fillId="0" borderId="1" xfId="1" applyNumberFormat="1" applyFont="1" applyBorder="1" applyAlignment="1">
      <alignment horizontal="center" textRotation="90"/>
    </xf>
    <xf numFmtId="168" fontId="0" fillId="6" borderId="1" xfId="1" applyNumberFormat="1" applyFont="1" applyFill="1" applyBorder="1" applyAlignment="1">
      <alignment horizontal="center" textRotation="90"/>
    </xf>
    <xf numFmtId="168" fontId="0" fillId="4" borderId="1" xfId="1" applyNumberFormat="1" applyFont="1" applyFill="1" applyBorder="1" applyAlignment="1">
      <alignment horizontal="center" textRotation="90"/>
    </xf>
    <xf numFmtId="168" fontId="0" fillId="5" borderId="1" xfId="1" applyNumberFormat="1" applyFont="1" applyFill="1" applyBorder="1" applyAlignment="1">
      <alignment horizontal="center" textRotation="90"/>
    </xf>
    <xf numFmtId="168" fontId="0" fillId="0" borderId="0" xfId="1" applyNumberFormat="1" applyFont="1" applyAlignment="1"/>
    <xf numFmtId="168" fontId="0" fillId="0" borderId="0" xfId="1" applyNumberFormat="1" applyFont="1"/>
    <xf numFmtId="168" fontId="0" fillId="0" borderId="0" xfId="1" applyNumberFormat="1" applyFont="1" applyFill="1"/>
    <xf numFmtId="168" fontId="0" fillId="0" borderId="0" xfId="1" applyNumberFormat="1" applyFont="1" applyAlignment="1">
      <alignment horizontal="center"/>
    </xf>
    <xf numFmtId="168" fontId="0" fillId="0" borderId="0" xfId="1" applyNumberFormat="1" applyFont="1" applyFill="1" applyAlignment="1">
      <alignment horizontal="center"/>
    </xf>
    <xf numFmtId="168" fontId="0" fillId="5" borderId="0" xfId="1" applyNumberFormat="1" applyFont="1" applyFill="1" applyAlignment="1">
      <alignment horizontal="center"/>
    </xf>
    <xf numFmtId="168" fontId="0" fillId="0" borderId="0" xfId="1" applyNumberFormat="1" applyFont="1" applyFill="1" applyAlignment="1"/>
    <xf numFmtId="169" fontId="5" fillId="4" borderId="6" xfId="1" applyNumberFormat="1" applyFont="1" applyFill="1" applyBorder="1" applyAlignment="1">
      <alignment horizontal="center"/>
    </xf>
    <xf numFmtId="169" fontId="5" fillId="6" borderId="6" xfId="1" applyNumberFormat="1" applyFont="1" applyFill="1" applyBorder="1" applyAlignment="1">
      <alignment horizontal="center"/>
    </xf>
    <xf numFmtId="169" fontId="5" fillId="0" borderId="6" xfId="1" applyNumberFormat="1" applyFont="1" applyFill="1" applyBorder="1" applyAlignment="1">
      <alignment horizontal="center"/>
    </xf>
    <xf numFmtId="169" fontId="5" fillId="4" borderId="4" xfId="1" applyNumberFormat="1" applyFont="1" applyFill="1" applyBorder="1" applyAlignment="1">
      <alignment horizontal="center"/>
    </xf>
    <xf numFmtId="169" fontId="5" fillId="0" borderId="4" xfId="1" applyNumberFormat="1" applyFont="1" applyBorder="1" applyAlignment="1">
      <alignment horizontal="center"/>
    </xf>
    <xf numFmtId="169" fontId="5" fillId="6" borderId="4" xfId="1" applyNumberFormat="1" applyFont="1" applyFill="1" applyBorder="1" applyAlignment="1">
      <alignment horizontal="center"/>
    </xf>
    <xf numFmtId="169" fontId="5" fillId="5" borderId="4" xfId="1" applyNumberFormat="1" applyFont="1" applyFill="1" applyBorder="1" applyAlignment="1">
      <alignment horizontal="center"/>
    </xf>
    <xf numFmtId="169" fontId="5" fillId="4" borderId="5" xfId="1" applyNumberFormat="1" applyFont="1" applyFill="1" applyBorder="1" applyAlignment="1">
      <alignment horizontal="center"/>
    </xf>
    <xf numFmtId="169" fontId="5" fillId="0" borderId="5" xfId="1" applyNumberFormat="1" applyFont="1" applyBorder="1" applyAlignment="1">
      <alignment horizontal="center"/>
    </xf>
    <xf numFmtId="169" fontId="5" fillId="6" borderId="5" xfId="1" applyNumberFormat="1" applyFont="1" applyFill="1" applyBorder="1" applyAlignment="1">
      <alignment horizontal="center"/>
    </xf>
    <xf numFmtId="169" fontId="5" fillId="0" borderId="5" xfId="1" applyNumberFormat="1" applyFont="1" applyFill="1" applyBorder="1" applyAlignment="1">
      <alignment horizontal="center"/>
    </xf>
    <xf numFmtId="169" fontId="5" fillId="5" borderId="5" xfId="1" applyNumberFormat="1" applyFont="1" applyFill="1" applyBorder="1" applyAlignment="1">
      <alignment horizontal="center"/>
    </xf>
    <xf numFmtId="169" fontId="5" fillId="0" borderId="4" xfId="1" applyNumberFormat="1" applyFont="1" applyFill="1" applyBorder="1" applyAlignment="1">
      <alignment horizontal="center"/>
    </xf>
    <xf numFmtId="169" fontId="5" fillId="4" borderId="1" xfId="1" applyNumberFormat="1" applyFont="1" applyFill="1" applyBorder="1" applyAlignment="1">
      <alignment horizontal="center"/>
    </xf>
    <xf numFmtId="169" fontId="5" fillId="6" borderId="1" xfId="1" applyNumberFormat="1" applyFont="1" applyFill="1" applyBorder="1" applyAlignment="1">
      <alignment horizontal="center"/>
    </xf>
    <xf numFmtId="169" fontId="5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6" fillId="0" borderId="0" xfId="0" applyFont="1"/>
    <xf numFmtId="0" fontId="2" fillId="2" borderId="0" xfId="2"/>
    <xf numFmtId="0" fontId="2" fillId="0" borderId="0" xfId="2" applyFill="1"/>
    <xf numFmtId="0" fontId="6" fillId="0" borderId="0" xfId="0" applyFont="1" applyFill="1"/>
    <xf numFmtId="0" fontId="0" fillId="0" borderId="0" xfId="0" applyFont="1" applyFill="1"/>
    <xf numFmtId="0" fontId="3" fillId="0" borderId="0" xfId="0" applyFont="1" applyFill="1"/>
    <xf numFmtId="168" fontId="0" fillId="0" borderId="0" xfId="1" applyNumberFormat="1" applyFont="1" applyFill="1" applyAlignment="1">
      <alignment textRotation="45"/>
    </xf>
    <xf numFmtId="168" fontId="0" fillId="0" borderId="0" xfId="1" applyNumberFormat="1" applyFont="1" applyFill="1" applyBorder="1"/>
    <xf numFmtId="168" fontId="2" fillId="0" borderId="0" xfId="2" applyNumberFormat="1" applyFill="1" applyAlignment="1">
      <alignment textRotation="45"/>
    </xf>
    <xf numFmtId="168" fontId="2" fillId="0" borderId="0" xfId="2" applyNumberFormat="1" applyFill="1" applyAlignment="1"/>
    <xf numFmtId="168" fontId="2" fillId="0" borderId="0" xfId="2" applyNumberFormat="1" applyFill="1"/>
    <xf numFmtId="168" fontId="2" fillId="0" borderId="0" xfId="2" applyNumberFormat="1" applyFill="1" applyBorder="1"/>
    <xf numFmtId="168" fontId="1" fillId="3" borderId="7" xfId="3" applyNumberFormat="1" applyBorder="1"/>
    <xf numFmtId="168" fontId="1" fillId="3" borderId="7" xfId="3" applyNumberFormat="1" applyBorder="1" applyAlignment="1"/>
    <xf numFmtId="168" fontId="0" fillId="0" borderId="2" xfId="1" applyNumberFormat="1" applyFont="1" applyFill="1" applyBorder="1" applyAlignment="1">
      <alignment horizontal="center" textRotation="90"/>
    </xf>
    <xf numFmtId="168" fontId="1" fillId="0" borderId="1" xfId="1" applyNumberFormat="1" applyFill="1" applyBorder="1" applyAlignment="1">
      <alignment horizontal="center" textRotation="90"/>
    </xf>
    <xf numFmtId="168" fontId="0" fillId="0" borderId="3" xfId="1" applyNumberFormat="1" applyFont="1" applyBorder="1" applyAlignment="1">
      <alignment horizontal="center" textRotation="90"/>
    </xf>
  </cellXfs>
  <cellStyles count="4">
    <cellStyle name="20% - Accent1" xfId="3" builtinId="30"/>
    <cellStyle name="Bad" xfId="2" builtinId="27"/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FF61"/>
      <color rgb="FF51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400051</xdr:colOff>
      <xdr:row>23</xdr:row>
      <xdr:rowOff>85725</xdr:rowOff>
    </xdr:from>
    <xdr:to>
      <xdr:col>10</xdr:col>
      <xdr:colOff>161925</xdr:colOff>
      <xdr:row>30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E8D2A9E-92EC-475C-A7F6-67F09FFEB0BE}"/>
            </a:ext>
          </a:extLst>
        </xdr:cNvPr>
        <xdr:cNvSpPr/>
      </xdr:nvSpPr>
      <xdr:spPr>
        <a:xfrm>
          <a:off x="7210426" y="6238875"/>
          <a:ext cx="981074" cy="13716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3971926</xdr:colOff>
      <xdr:row>7</xdr:row>
      <xdr:rowOff>123825</xdr:rowOff>
    </xdr:from>
    <xdr:to>
      <xdr:col>4</xdr:col>
      <xdr:colOff>161925</xdr:colOff>
      <xdr:row>16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030016C-7FE4-4F97-8B99-543CBE5702D7}"/>
            </a:ext>
          </a:extLst>
        </xdr:cNvPr>
        <xdr:cNvSpPr/>
      </xdr:nvSpPr>
      <xdr:spPr>
        <a:xfrm>
          <a:off x="4229101" y="32289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7</xdr:row>
      <xdr:rowOff>161925</xdr:rowOff>
    </xdr:from>
    <xdr:to>
      <xdr:col>11</xdr:col>
      <xdr:colOff>152400</xdr:colOff>
      <xdr:row>17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B825AC3-1D31-460A-A405-69ED53658523}"/>
            </a:ext>
          </a:extLst>
        </xdr:cNvPr>
        <xdr:cNvSpPr/>
      </xdr:nvSpPr>
      <xdr:spPr>
        <a:xfrm>
          <a:off x="7934326" y="32670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552451</xdr:colOff>
      <xdr:row>7</xdr:row>
      <xdr:rowOff>142875</xdr:rowOff>
    </xdr:from>
    <xdr:to>
      <xdr:col>14</xdr:col>
      <xdr:colOff>142875</xdr:colOff>
      <xdr:row>17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D032426-5FA0-4A38-81D4-0787D8923AF0}"/>
            </a:ext>
          </a:extLst>
        </xdr:cNvPr>
        <xdr:cNvSpPr/>
      </xdr:nvSpPr>
      <xdr:spPr>
        <a:xfrm>
          <a:off x="9191626" y="324802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42</xdr:row>
      <xdr:rowOff>85725</xdr:rowOff>
    </xdr:from>
    <xdr:to>
      <xdr:col>10</xdr:col>
      <xdr:colOff>133350</xdr:colOff>
      <xdr:row>48</xdr:row>
      <xdr:rowOff>114300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8BB4030-34C4-4179-963C-682188E3DCE3}"/>
            </a:ext>
          </a:extLst>
        </xdr:cNvPr>
        <xdr:cNvSpPr/>
      </xdr:nvSpPr>
      <xdr:spPr>
        <a:xfrm>
          <a:off x="7419975" y="98583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466725</xdr:colOff>
      <xdr:row>42</xdr:row>
      <xdr:rowOff>95250</xdr:rowOff>
    </xdr:from>
    <xdr:to>
      <xdr:col>8</xdr:col>
      <xdr:colOff>600075</xdr:colOff>
      <xdr:row>48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9FB71FB-43F6-4E13-B93B-CE663EB30649}"/>
            </a:ext>
          </a:extLst>
        </xdr:cNvPr>
        <xdr:cNvSpPr/>
      </xdr:nvSpPr>
      <xdr:spPr>
        <a:xfrm>
          <a:off x="6667500" y="9867900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504826</xdr:colOff>
      <xdr:row>30</xdr:row>
      <xdr:rowOff>142875</xdr:rowOff>
    </xdr:from>
    <xdr:to>
      <xdr:col>8</xdr:col>
      <xdr:colOff>209550</xdr:colOff>
      <xdr:row>37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BD024C-DF48-4E87-AF8D-6032222D8993}"/>
            </a:ext>
          </a:extLst>
        </xdr:cNvPr>
        <xdr:cNvSpPr/>
      </xdr:nvSpPr>
      <xdr:spPr>
        <a:xfrm>
          <a:off x="6038851" y="7629525"/>
          <a:ext cx="981074" cy="126682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37</xdr:row>
      <xdr:rowOff>152400</xdr:rowOff>
    </xdr:from>
    <xdr:to>
      <xdr:col>11</xdr:col>
      <xdr:colOff>114300</xdr:colOff>
      <xdr:row>42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8D516BF-D950-40DA-BB1D-C7D84AC58716}"/>
            </a:ext>
          </a:extLst>
        </xdr:cNvPr>
        <xdr:cNvSpPr/>
      </xdr:nvSpPr>
      <xdr:spPr>
        <a:xfrm>
          <a:off x="7934326" y="8972550"/>
          <a:ext cx="819149" cy="8763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561975</xdr:colOff>
      <xdr:row>47</xdr:row>
      <xdr:rowOff>161925</xdr:rowOff>
    </xdr:from>
    <xdr:to>
      <xdr:col>17</xdr:col>
      <xdr:colOff>85725</xdr:colOff>
      <xdr:row>54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FA48BF0-A480-4A33-9A44-7C60569DEE71}"/>
            </a:ext>
          </a:extLst>
        </xdr:cNvPr>
        <xdr:cNvSpPr/>
      </xdr:nvSpPr>
      <xdr:spPr>
        <a:xfrm>
          <a:off x="11077575" y="108870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14</xdr:col>
      <xdr:colOff>552450</xdr:colOff>
      <xdr:row>54</xdr:row>
      <xdr:rowOff>9525</xdr:rowOff>
    </xdr:from>
    <xdr:to>
      <xdr:col>16</xdr:col>
      <xdr:colOff>76200</xdr:colOff>
      <xdr:row>60</xdr:row>
      <xdr:rowOff>38100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9A49C29-9CDB-4B9C-84CC-8CA8ADB715FF}"/>
            </a:ext>
          </a:extLst>
        </xdr:cNvPr>
        <xdr:cNvSpPr/>
      </xdr:nvSpPr>
      <xdr:spPr>
        <a:xfrm>
          <a:off x="10458450" y="120681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19051</xdr:colOff>
      <xdr:row>2</xdr:row>
      <xdr:rowOff>104775</xdr:rowOff>
    </xdr:from>
    <xdr:to>
      <xdr:col>11</xdr:col>
      <xdr:colOff>171450</xdr:colOff>
      <xdr:row>7</xdr:row>
      <xdr:rowOff>123825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8E8E065-78AA-4FE7-9974-4756B4FE5EF5}"/>
            </a:ext>
          </a:extLst>
        </xdr:cNvPr>
        <xdr:cNvSpPr/>
      </xdr:nvSpPr>
      <xdr:spPr>
        <a:xfrm>
          <a:off x="6219826" y="2257425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19051</xdr:colOff>
      <xdr:row>2</xdr:row>
      <xdr:rowOff>95250</xdr:rowOff>
    </xdr:from>
    <xdr:to>
      <xdr:col>17</xdr:col>
      <xdr:colOff>123825</xdr:colOff>
      <xdr:row>7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86C8645-2B12-487C-BAF5-E99528C2FD73}"/>
            </a:ext>
          </a:extLst>
        </xdr:cNvPr>
        <xdr:cNvSpPr/>
      </xdr:nvSpPr>
      <xdr:spPr>
        <a:xfrm>
          <a:off x="9267826" y="2247900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7E87-9620-472C-8D00-6087731A7CE5}">
  <dimension ref="B2:Q64"/>
  <sheetViews>
    <sheetView showGridLines="0" tabSelected="1" workbookViewId="0">
      <pane xSplit="3" ySplit="2" topLeftCell="D3" activePane="bottomRight" state="frozen"/>
      <selection pane="topRight" activeCell="D1" sqref="D1"/>
      <selection pane="bottomLeft" activeCell="A6" sqref="A6"/>
      <selection pane="bottomRight" activeCell="S11" sqref="S11"/>
    </sheetView>
  </sheetViews>
  <sheetFormatPr defaultRowHeight="15" outlineLevelRow="2" x14ac:dyDescent="0.25"/>
  <cols>
    <col min="1" max="1" width="1.5703125" style="14" customWidth="1"/>
    <col min="2" max="2" width="2.28515625" style="48" customWidth="1"/>
    <col min="3" max="3" width="60.85546875" style="15" bestFit="1" customWidth="1"/>
    <col min="4" max="4" width="9.140625" style="17"/>
    <col min="5" max="6" width="9.140625" style="16"/>
    <col min="7" max="7" width="0.85546875" style="16" customWidth="1"/>
    <col min="8" max="9" width="9.140625" style="16"/>
    <col min="10" max="12" width="9.140625" style="16" customWidth="1"/>
    <col min="13" max="13" width="0.7109375" style="18" customWidth="1"/>
    <col min="14" max="14" width="9.140625" style="16"/>
    <col min="15" max="15" width="9.140625" style="18"/>
    <col min="16" max="17" width="9.140625" style="16"/>
    <col min="18" max="16384" width="9.140625" style="14"/>
  </cols>
  <sheetData>
    <row r="2" spans="2:17" s="2" customFormat="1" ht="154.5" x14ac:dyDescent="0.25">
      <c r="B2" s="46"/>
      <c r="C2" s="44"/>
      <c r="D2" s="52" t="s">
        <v>50</v>
      </c>
      <c r="E2" s="3" t="s">
        <v>49</v>
      </c>
      <c r="F2" s="4" t="s">
        <v>53</v>
      </c>
      <c r="G2" s="5"/>
      <c r="H2" s="4" t="s">
        <v>41</v>
      </c>
      <c r="I2" s="3" t="s">
        <v>43</v>
      </c>
      <c r="J2" s="4" t="s">
        <v>42</v>
      </c>
      <c r="K2" s="4" t="s">
        <v>88</v>
      </c>
      <c r="L2" s="3" t="s">
        <v>38</v>
      </c>
      <c r="M2" s="6"/>
      <c r="N2" s="7" t="s">
        <v>35</v>
      </c>
      <c r="O2" s="6" t="s">
        <v>45</v>
      </c>
      <c r="P2" s="3" t="s">
        <v>46</v>
      </c>
      <c r="Q2" s="6" t="s">
        <v>56</v>
      </c>
    </row>
    <row r="3" spans="2:17" s="2" customFormat="1" x14ac:dyDescent="0.25">
      <c r="B3" s="46"/>
      <c r="C3" s="44"/>
      <c r="D3" s="53"/>
      <c r="E3" s="8"/>
      <c r="F3" s="9"/>
      <c r="G3" s="10"/>
      <c r="H3" s="9"/>
      <c r="I3" s="11"/>
      <c r="J3" s="54"/>
      <c r="K3" s="54"/>
      <c r="L3" s="11"/>
      <c r="M3" s="12"/>
      <c r="N3" s="8"/>
      <c r="O3" s="12"/>
      <c r="P3" s="11"/>
      <c r="Q3" s="12"/>
    </row>
    <row r="4" spans="2:17" s="13" customFormat="1" x14ac:dyDescent="0.25">
      <c r="B4" s="51" t="s">
        <v>39</v>
      </c>
      <c r="C4" s="51"/>
      <c r="D4" s="22">
        <f>AVERAGE(D5:D7)</f>
        <v>2.6666666666666665</v>
      </c>
      <c r="E4" s="20">
        <f t="shared" ref="E4:Q4" si="0">AVERAGE(E5:E7)</f>
        <v>3.6666666666666665</v>
      </c>
      <c r="F4" s="20">
        <f t="shared" si="0"/>
        <v>3</v>
      </c>
      <c r="G4" s="20" t="e">
        <f t="shared" si="0"/>
        <v>#DIV/0!</v>
      </c>
      <c r="H4" s="20">
        <f t="shared" si="0"/>
        <v>5</v>
      </c>
      <c r="I4" s="20">
        <f t="shared" si="0"/>
        <v>5</v>
      </c>
      <c r="J4" s="20">
        <f t="shared" si="0"/>
        <v>5</v>
      </c>
      <c r="K4" s="20">
        <f t="shared" si="0"/>
        <v>3.6666666666666665</v>
      </c>
      <c r="L4" s="20">
        <f t="shared" si="0"/>
        <v>3</v>
      </c>
      <c r="M4" s="20" t="e">
        <f t="shared" si="0"/>
        <v>#DIV/0!</v>
      </c>
      <c r="N4" s="20">
        <f t="shared" si="0"/>
        <v>4</v>
      </c>
      <c r="O4" s="20">
        <f t="shared" si="0"/>
        <v>5</v>
      </c>
      <c r="P4" s="20">
        <f t="shared" si="0"/>
        <v>5</v>
      </c>
      <c r="Q4" s="20">
        <f t="shared" si="0"/>
        <v>5</v>
      </c>
    </row>
    <row r="5" spans="2:17" s="13" customFormat="1" outlineLevel="1" x14ac:dyDescent="0.25">
      <c r="B5" s="47"/>
      <c r="C5" s="19" t="s">
        <v>40</v>
      </c>
      <c r="D5" s="32">
        <v>2</v>
      </c>
      <c r="E5" s="23">
        <v>3</v>
      </c>
      <c r="F5" s="24">
        <v>1</v>
      </c>
      <c r="G5" s="25"/>
      <c r="H5" s="24">
        <v>5</v>
      </c>
      <c r="I5" s="23">
        <v>5</v>
      </c>
      <c r="J5" s="24">
        <v>5</v>
      </c>
      <c r="K5" s="24">
        <v>4</v>
      </c>
      <c r="L5" s="23">
        <v>2</v>
      </c>
      <c r="M5" s="26"/>
      <c r="N5" s="23">
        <v>5</v>
      </c>
      <c r="O5" s="26">
        <v>5</v>
      </c>
      <c r="P5" s="23">
        <v>5</v>
      </c>
      <c r="Q5" s="26">
        <v>5</v>
      </c>
    </row>
    <row r="6" spans="2:17" s="13" customFormat="1" outlineLevel="1" x14ac:dyDescent="0.25">
      <c r="B6" s="47"/>
      <c r="C6" s="19" t="s">
        <v>47</v>
      </c>
      <c r="D6" s="30">
        <v>3</v>
      </c>
      <c r="E6" s="27">
        <v>5</v>
      </c>
      <c r="F6" s="28"/>
      <c r="G6" s="29"/>
      <c r="H6" s="28"/>
      <c r="I6" s="27"/>
      <c r="J6" s="28"/>
      <c r="K6" s="28">
        <v>4</v>
      </c>
      <c r="L6" s="27">
        <v>3</v>
      </c>
      <c r="M6" s="30"/>
      <c r="N6" s="27">
        <v>3</v>
      </c>
      <c r="O6" s="31"/>
      <c r="P6" s="27"/>
      <c r="Q6" s="31"/>
    </row>
    <row r="7" spans="2:17" s="13" customFormat="1" outlineLevel="1" x14ac:dyDescent="0.25">
      <c r="B7" s="47"/>
      <c r="C7" s="19" t="s">
        <v>48</v>
      </c>
      <c r="D7" s="30">
        <v>3</v>
      </c>
      <c r="E7" s="27">
        <v>3</v>
      </c>
      <c r="F7" s="28">
        <v>5</v>
      </c>
      <c r="G7" s="29"/>
      <c r="H7" s="28"/>
      <c r="I7" s="27"/>
      <c r="J7" s="28"/>
      <c r="K7" s="28">
        <v>3</v>
      </c>
      <c r="L7" s="27">
        <v>4</v>
      </c>
      <c r="M7" s="30"/>
      <c r="N7" s="27">
        <v>4</v>
      </c>
      <c r="O7" s="31"/>
      <c r="P7" s="27"/>
      <c r="Q7" s="31"/>
    </row>
    <row r="8" spans="2:17" s="13" customFormat="1" outlineLevel="1" x14ac:dyDescent="0.25">
      <c r="B8" s="47"/>
      <c r="C8" s="19"/>
      <c r="D8" s="30"/>
      <c r="E8" s="27"/>
      <c r="F8" s="28"/>
      <c r="G8" s="29"/>
      <c r="H8" s="28"/>
      <c r="I8" s="27"/>
      <c r="J8" s="28"/>
      <c r="K8" s="28"/>
      <c r="L8" s="27"/>
      <c r="M8" s="30"/>
      <c r="N8" s="27"/>
      <c r="O8" s="31"/>
      <c r="P8" s="27"/>
      <c r="Q8" s="31"/>
    </row>
    <row r="9" spans="2:17" x14ac:dyDescent="0.25">
      <c r="B9" s="50" t="s">
        <v>13</v>
      </c>
      <c r="C9" s="50"/>
      <c r="D9" s="22">
        <f>AVERAGE(D10:D17)</f>
        <v>3.75</v>
      </c>
      <c r="E9" s="20">
        <f t="shared" ref="E9:Q9" si="1">AVERAGE(E10:E17)</f>
        <v>3.25</v>
      </c>
      <c r="F9" s="20">
        <f t="shared" si="1"/>
        <v>2.625</v>
      </c>
      <c r="G9" s="20" t="e">
        <f t="shared" si="1"/>
        <v>#DIV/0!</v>
      </c>
      <c r="H9" s="20">
        <f t="shared" si="1"/>
        <v>3.375</v>
      </c>
      <c r="I9" s="20">
        <f t="shared" si="1"/>
        <v>2.75</v>
      </c>
      <c r="J9" s="20">
        <f t="shared" si="1"/>
        <v>3.375</v>
      </c>
      <c r="K9" s="20">
        <f t="shared" si="1"/>
        <v>3.625</v>
      </c>
      <c r="L9" s="20">
        <f t="shared" si="1"/>
        <v>3.25</v>
      </c>
      <c r="M9" s="20" t="e">
        <f t="shared" si="1"/>
        <v>#DIV/0!</v>
      </c>
      <c r="N9" s="20">
        <f t="shared" si="1"/>
        <v>3.625</v>
      </c>
      <c r="O9" s="20" t="e">
        <f t="shared" si="1"/>
        <v>#DIV/0!</v>
      </c>
      <c r="P9" s="20" t="e">
        <f t="shared" si="1"/>
        <v>#DIV/0!</v>
      </c>
      <c r="Q9" s="20" t="e">
        <f t="shared" si="1"/>
        <v>#DIV/0!</v>
      </c>
    </row>
    <row r="10" spans="2:17" outlineLevel="1" x14ac:dyDescent="0.25">
      <c r="C10" s="15" t="s">
        <v>34</v>
      </c>
      <c r="D10" s="32">
        <v>2</v>
      </c>
      <c r="E10" s="23">
        <v>2</v>
      </c>
      <c r="F10" s="24">
        <v>1</v>
      </c>
      <c r="G10" s="25"/>
      <c r="H10" s="24">
        <v>2</v>
      </c>
      <c r="I10" s="23">
        <v>1</v>
      </c>
      <c r="J10" s="24">
        <v>4</v>
      </c>
      <c r="K10" s="24">
        <v>4</v>
      </c>
      <c r="L10" s="23">
        <v>4</v>
      </c>
      <c r="M10" s="32"/>
      <c r="N10" s="23">
        <v>4</v>
      </c>
      <c r="O10" s="26"/>
      <c r="P10" s="23"/>
      <c r="Q10" s="26"/>
    </row>
    <row r="11" spans="2:17" outlineLevel="1" x14ac:dyDescent="0.25">
      <c r="C11" s="15" t="s">
        <v>14</v>
      </c>
      <c r="D11" s="30">
        <v>4</v>
      </c>
      <c r="E11" s="27">
        <v>2</v>
      </c>
      <c r="F11" s="28">
        <v>5</v>
      </c>
      <c r="G11" s="29"/>
      <c r="H11" s="28">
        <v>2</v>
      </c>
      <c r="I11" s="27">
        <v>1</v>
      </c>
      <c r="J11" s="28">
        <v>2</v>
      </c>
      <c r="K11" s="28">
        <v>1</v>
      </c>
      <c r="L11" s="27">
        <v>3</v>
      </c>
      <c r="M11" s="30"/>
      <c r="N11" s="27">
        <v>2</v>
      </c>
      <c r="O11" s="31"/>
      <c r="P11" s="27"/>
      <c r="Q11" s="31"/>
    </row>
    <row r="12" spans="2:17" outlineLevel="1" x14ac:dyDescent="0.25">
      <c r="C12" s="15" t="s">
        <v>15</v>
      </c>
      <c r="D12" s="30">
        <v>2</v>
      </c>
      <c r="E12" s="27">
        <v>2</v>
      </c>
      <c r="F12" s="28">
        <v>1</v>
      </c>
      <c r="G12" s="29"/>
      <c r="H12" s="28">
        <v>3</v>
      </c>
      <c r="I12" s="27">
        <v>3</v>
      </c>
      <c r="J12" s="28">
        <v>3</v>
      </c>
      <c r="K12" s="28">
        <v>2</v>
      </c>
      <c r="L12" s="27">
        <v>4</v>
      </c>
      <c r="M12" s="30"/>
      <c r="N12" s="27">
        <v>3</v>
      </c>
      <c r="O12" s="31"/>
      <c r="P12" s="27"/>
      <c r="Q12" s="31"/>
    </row>
    <row r="13" spans="2:17" outlineLevel="1" x14ac:dyDescent="0.25">
      <c r="C13" s="15" t="s">
        <v>16</v>
      </c>
      <c r="D13" s="30">
        <v>3</v>
      </c>
      <c r="E13" s="27">
        <v>3</v>
      </c>
      <c r="F13" s="28">
        <v>2</v>
      </c>
      <c r="G13" s="29"/>
      <c r="H13" s="28">
        <v>3</v>
      </c>
      <c r="I13" s="27">
        <v>2</v>
      </c>
      <c r="J13" s="28">
        <v>2</v>
      </c>
      <c r="K13" s="28">
        <v>3</v>
      </c>
      <c r="L13" s="27">
        <v>1</v>
      </c>
      <c r="M13" s="30"/>
      <c r="N13" s="27">
        <v>3</v>
      </c>
      <c r="O13" s="31"/>
      <c r="P13" s="27"/>
      <c r="Q13" s="31"/>
    </row>
    <row r="14" spans="2:17" outlineLevel="1" x14ac:dyDescent="0.25">
      <c r="C14" s="15" t="s">
        <v>17</v>
      </c>
      <c r="D14" s="30">
        <v>4</v>
      </c>
      <c r="E14" s="27">
        <v>4</v>
      </c>
      <c r="F14" s="28">
        <v>3</v>
      </c>
      <c r="G14" s="29"/>
      <c r="H14" s="28">
        <v>5</v>
      </c>
      <c r="I14" s="27">
        <v>4</v>
      </c>
      <c r="J14" s="28">
        <v>4</v>
      </c>
      <c r="K14" s="28">
        <v>4</v>
      </c>
      <c r="L14" s="27">
        <v>3</v>
      </c>
      <c r="M14" s="30"/>
      <c r="N14" s="27">
        <v>3</v>
      </c>
      <c r="O14" s="31"/>
      <c r="P14" s="27"/>
      <c r="Q14" s="31"/>
    </row>
    <row r="15" spans="2:17" outlineLevel="1" x14ac:dyDescent="0.25">
      <c r="C15" s="15" t="s">
        <v>18</v>
      </c>
      <c r="D15" s="30">
        <v>5</v>
      </c>
      <c r="E15" s="27">
        <v>5</v>
      </c>
      <c r="F15" s="28">
        <v>3</v>
      </c>
      <c r="G15" s="29"/>
      <c r="H15" s="28">
        <v>5</v>
      </c>
      <c r="I15" s="27">
        <v>4</v>
      </c>
      <c r="J15" s="28">
        <v>5</v>
      </c>
      <c r="K15" s="28">
        <v>5</v>
      </c>
      <c r="L15" s="27">
        <v>3</v>
      </c>
      <c r="M15" s="30"/>
      <c r="N15" s="27">
        <v>4</v>
      </c>
      <c r="O15" s="31"/>
      <c r="P15" s="27"/>
      <c r="Q15" s="31"/>
    </row>
    <row r="16" spans="2:17" outlineLevel="1" x14ac:dyDescent="0.25">
      <c r="C16" s="15" t="s">
        <v>0</v>
      </c>
      <c r="D16" s="30">
        <v>5</v>
      </c>
      <c r="E16" s="27">
        <v>3</v>
      </c>
      <c r="F16" s="28">
        <v>4</v>
      </c>
      <c r="G16" s="29"/>
      <c r="H16" s="28">
        <v>4</v>
      </c>
      <c r="I16" s="27">
        <v>4</v>
      </c>
      <c r="J16" s="28">
        <v>2</v>
      </c>
      <c r="K16" s="28">
        <v>5</v>
      </c>
      <c r="L16" s="27">
        <v>5</v>
      </c>
      <c r="M16" s="30"/>
      <c r="N16" s="27">
        <v>5</v>
      </c>
      <c r="O16" s="31"/>
      <c r="P16" s="27"/>
      <c r="Q16" s="31"/>
    </row>
    <row r="17" spans="2:17" outlineLevel="1" x14ac:dyDescent="0.25">
      <c r="C17" s="15" t="s">
        <v>1</v>
      </c>
      <c r="D17" s="30">
        <v>5</v>
      </c>
      <c r="E17" s="27">
        <v>5</v>
      </c>
      <c r="F17" s="28">
        <v>2</v>
      </c>
      <c r="G17" s="29"/>
      <c r="H17" s="28">
        <v>3</v>
      </c>
      <c r="I17" s="27">
        <v>3</v>
      </c>
      <c r="J17" s="28">
        <v>5</v>
      </c>
      <c r="K17" s="28">
        <v>5</v>
      </c>
      <c r="L17" s="27">
        <v>3</v>
      </c>
      <c r="M17" s="30"/>
      <c r="N17" s="27">
        <v>5</v>
      </c>
      <c r="O17" s="31"/>
      <c r="P17" s="27"/>
      <c r="Q17" s="31"/>
    </row>
    <row r="18" spans="2:17" outlineLevel="1" x14ac:dyDescent="0.25">
      <c r="D18" s="30"/>
      <c r="E18" s="27"/>
      <c r="F18" s="28"/>
      <c r="G18" s="29"/>
      <c r="H18" s="28"/>
      <c r="I18" s="27"/>
      <c r="J18" s="28"/>
      <c r="K18" s="28"/>
      <c r="L18" s="27"/>
      <c r="M18" s="30"/>
      <c r="N18" s="27"/>
      <c r="O18" s="31"/>
      <c r="P18" s="27"/>
      <c r="Q18" s="31"/>
    </row>
    <row r="19" spans="2:17" x14ac:dyDescent="0.25">
      <c r="B19" s="50" t="s">
        <v>51</v>
      </c>
      <c r="C19" s="50"/>
      <c r="D19" s="22">
        <f>AVERAGE(D20:D23)</f>
        <v>3</v>
      </c>
      <c r="E19" s="20">
        <f t="shared" ref="E19:Q19" si="2">AVERAGE(E20:E23)</f>
        <v>1</v>
      </c>
      <c r="F19" s="20">
        <f t="shared" si="2"/>
        <v>3</v>
      </c>
      <c r="G19" s="20" t="e">
        <f t="shared" si="2"/>
        <v>#DIV/0!</v>
      </c>
      <c r="H19" s="20">
        <f t="shared" si="2"/>
        <v>2</v>
      </c>
      <c r="I19" s="20">
        <f t="shared" si="2"/>
        <v>1.5</v>
      </c>
      <c r="J19" s="20">
        <f t="shared" si="2"/>
        <v>1.5</v>
      </c>
      <c r="K19" s="20">
        <f t="shared" si="2"/>
        <v>2.5</v>
      </c>
      <c r="L19" s="20">
        <f t="shared" si="2"/>
        <v>2.5</v>
      </c>
      <c r="M19" s="20" t="e">
        <f t="shared" si="2"/>
        <v>#DIV/0!</v>
      </c>
      <c r="N19" s="20">
        <f t="shared" si="2"/>
        <v>1.5</v>
      </c>
      <c r="O19" s="20" t="e">
        <f t="shared" si="2"/>
        <v>#DIV/0!</v>
      </c>
      <c r="P19" s="20" t="e">
        <f t="shared" si="2"/>
        <v>#DIV/0!</v>
      </c>
      <c r="Q19" s="20" t="e">
        <f t="shared" si="2"/>
        <v>#DIV/0!</v>
      </c>
    </row>
    <row r="20" spans="2:17" outlineLevel="2" x14ac:dyDescent="0.25">
      <c r="C20" s="15" t="s">
        <v>2</v>
      </c>
      <c r="D20" s="32">
        <v>4</v>
      </c>
      <c r="E20" s="23">
        <v>1</v>
      </c>
      <c r="F20" s="24">
        <v>4</v>
      </c>
      <c r="G20" s="25"/>
      <c r="H20" s="24">
        <v>3</v>
      </c>
      <c r="I20" s="23">
        <v>2</v>
      </c>
      <c r="J20" s="24">
        <v>2</v>
      </c>
      <c r="K20" s="24">
        <v>2</v>
      </c>
      <c r="L20" s="23">
        <v>3</v>
      </c>
      <c r="M20" s="32"/>
      <c r="N20" s="23">
        <v>1</v>
      </c>
      <c r="O20" s="26"/>
      <c r="P20" s="23"/>
      <c r="Q20" s="26"/>
    </row>
    <row r="21" spans="2:17" outlineLevel="2" x14ac:dyDescent="0.25">
      <c r="C21" s="15" t="s">
        <v>3</v>
      </c>
      <c r="D21" s="30">
        <v>2</v>
      </c>
      <c r="E21" s="27">
        <v>1</v>
      </c>
      <c r="F21" s="28">
        <v>1</v>
      </c>
      <c r="G21" s="29"/>
      <c r="H21" s="28">
        <v>1</v>
      </c>
      <c r="I21" s="27">
        <v>1</v>
      </c>
      <c r="J21" s="28">
        <v>1</v>
      </c>
      <c r="K21" s="28">
        <v>2</v>
      </c>
      <c r="L21" s="27">
        <v>1</v>
      </c>
      <c r="M21" s="30"/>
      <c r="N21" s="27">
        <v>1</v>
      </c>
      <c r="O21" s="31"/>
      <c r="P21" s="27"/>
      <c r="Q21" s="31"/>
    </row>
    <row r="22" spans="2:17" outlineLevel="2" x14ac:dyDescent="0.25">
      <c r="C22" s="15" t="s">
        <v>4</v>
      </c>
      <c r="D22" s="30">
        <v>2</v>
      </c>
      <c r="E22" s="27">
        <v>1</v>
      </c>
      <c r="F22" s="28">
        <v>3</v>
      </c>
      <c r="G22" s="29"/>
      <c r="H22" s="28">
        <v>3</v>
      </c>
      <c r="I22" s="27">
        <v>1</v>
      </c>
      <c r="J22" s="28">
        <v>1</v>
      </c>
      <c r="K22" s="28">
        <v>3</v>
      </c>
      <c r="L22" s="27">
        <v>3</v>
      </c>
      <c r="M22" s="30"/>
      <c r="N22" s="27">
        <v>1</v>
      </c>
      <c r="O22" s="31"/>
      <c r="P22" s="27"/>
      <c r="Q22" s="31"/>
    </row>
    <row r="23" spans="2:17" outlineLevel="2" x14ac:dyDescent="0.25">
      <c r="C23" s="15" t="s">
        <v>52</v>
      </c>
      <c r="D23" s="30">
        <v>4</v>
      </c>
      <c r="E23" s="27">
        <v>1</v>
      </c>
      <c r="F23" s="28">
        <v>4</v>
      </c>
      <c r="G23" s="29"/>
      <c r="H23" s="28">
        <v>1</v>
      </c>
      <c r="I23" s="27">
        <v>2</v>
      </c>
      <c r="J23" s="28">
        <v>2</v>
      </c>
      <c r="K23" s="28">
        <v>3</v>
      </c>
      <c r="L23" s="27">
        <v>3</v>
      </c>
      <c r="M23" s="30"/>
      <c r="N23" s="27">
        <v>3</v>
      </c>
      <c r="O23" s="31"/>
      <c r="P23" s="27"/>
      <c r="Q23" s="31"/>
    </row>
    <row r="24" spans="2:17" outlineLevel="2" x14ac:dyDescent="0.25">
      <c r="D24" s="30"/>
      <c r="E24" s="27"/>
      <c r="F24" s="28"/>
      <c r="G24" s="29"/>
      <c r="H24" s="28"/>
      <c r="I24" s="27"/>
      <c r="J24" s="28"/>
      <c r="K24" s="28"/>
      <c r="L24" s="27"/>
      <c r="M24" s="30"/>
      <c r="N24" s="27"/>
      <c r="O24" s="31"/>
      <c r="P24" s="27"/>
      <c r="Q24" s="31"/>
    </row>
    <row r="25" spans="2:17" x14ac:dyDescent="0.25">
      <c r="B25" s="50" t="s">
        <v>19</v>
      </c>
      <c r="C25" s="50"/>
      <c r="D25" s="22">
        <f>AVERAGE(D26:D29)</f>
        <v>4</v>
      </c>
      <c r="E25" s="20">
        <f>AVERAGE(E26:E29)</f>
        <v>3</v>
      </c>
      <c r="F25" s="20">
        <f>AVERAGE(F26:F29)</f>
        <v>3.5</v>
      </c>
      <c r="G25" s="20"/>
      <c r="H25" s="20">
        <f>AVERAGE(H26:H29)</f>
        <v>4</v>
      </c>
      <c r="I25" s="20">
        <f>AVERAGE(I26:I29)</f>
        <v>4</v>
      </c>
      <c r="J25" s="20">
        <f>AVERAGE(J26:J29)</f>
        <v>4.75</v>
      </c>
      <c r="K25" s="20">
        <f>AVERAGE(K26:K29)</f>
        <v>2.5</v>
      </c>
      <c r="L25" s="20">
        <f>AVERAGE(L26:L29)</f>
        <v>3.5</v>
      </c>
      <c r="M25" s="22"/>
      <c r="N25" s="20">
        <f>AVERAGE(N26:N29)</f>
        <v>2.5</v>
      </c>
      <c r="O25" s="20" t="e">
        <f>AVERAGE(O26:O29)</f>
        <v>#DIV/0!</v>
      </c>
      <c r="P25" s="20" t="e">
        <f>AVERAGE(P26:P29)</f>
        <v>#DIV/0!</v>
      </c>
      <c r="Q25" s="20" t="e">
        <f>AVERAGE(Q26:Q29)</f>
        <v>#DIV/0!</v>
      </c>
    </row>
    <row r="26" spans="2:17" outlineLevel="1" x14ac:dyDescent="0.25">
      <c r="C26" s="15" t="s">
        <v>5</v>
      </c>
      <c r="D26" s="32">
        <v>5</v>
      </c>
      <c r="E26" s="23">
        <v>5</v>
      </c>
      <c r="F26" s="24">
        <v>4</v>
      </c>
      <c r="G26" s="25"/>
      <c r="H26" s="24">
        <v>3</v>
      </c>
      <c r="I26" s="23">
        <v>3</v>
      </c>
      <c r="J26" s="24">
        <v>5</v>
      </c>
      <c r="K26" s="24">
        <v>3</v>
      </c>
      <c r="L26" s="23">
        <v>3</v>
      </c>
      <c r="M26" s="32"/>
      <c r="N26" s="23">
        <v>3</v>
      </c>
      <c r="O26" s="26"/>
      <c r="P26" s="23"/>
      <c r="Q26" s="26"/>
    </row>
    <row r="27" spans="2:17" outlineLevel="1" x14ac:dyDescent="0.25">
      <c r="C27" s="15" t="s">
        <v>6</v>
      </c>
      <c r="D27" s="30">
        <v>5</v>
      </c>
      <c r="E27" s="27">
        <v>4</v>
      </c>
      <c r="F27" s="28">
        <v>4</v>
      </c>
      <c r="G27" s="29"/>
      <c r="H27" s="28">
        <v>3</v>
      </c>
      <c r="I27" s="27">
        <v>5</v>
      </c>
      <c r="J27" s="28">
        <v>5</v>
      </c>
      <c r="K27" s="28">
        <v>4</v>
      </c>
      <c r="L27" s="27">
        <v>3</v>
      </c>
      <c r="M27" s="30"/>
      <c r="N27" s="27">
        <v>4</v>
      </c>
      <c r="O27" s="31"/>
      <c r="P27" s="27"/>
      <c r="Q27" s="31"/>
    </row>
    <row r="28" spans="2:17" outlineLevel="1" x14ac:dyDescent="0.25">
      <c r="C28" s="15" t="s">
        <v>36</v>
      </c>
      <c r="D28" s="30">
        <v>3</v>
      </c>
      <c r="E28" s="27">
        <v>2</v>
      </c>
      <c r="F28" s="28">
        <v>4</v>
      </c>
      <c r="G28" s="29"/>
      <c r="H28" s="28">
        <v>5</v>
      </c>
      <c r="I28" s="27">
        <v>3</v>
      </c>
      <c r="J28" s="28">
        <v>5</v>
      </c>
      <c r="K28" s="28">
        <v>2</v>
      </c>
      <c r="L28" s="27">
        <v>3</v>
      </c>
      <c r="M28" s="30"/>
      <c r="N28" s="27">
        <v>2</v>
      </c>
      <c r="O28" s="31"/>
      <c r="P28" s="27"/>
      <c r="Q28" s="31"/>
    </row>
    <row r="29" spans="2:17" outlineLevel="1" x14ac:dyDescent="0.25">
      <c r="C29" s="15" t="s">
        <v>37</v>
      </c>
      <c r="D29" s="30">
        <v>3</v>
      </c>
      <c r="E29" s="27">
        <v>1</v>
      </c>
      <c r="F29" s="28">
        <v>2</v>
      </c>
      <c r="G29" s="29"/>
      <c r="H29" s="28">
        <v>5</v>
      </c>
      <c r="I29" s="27">
        <v>5</v>
      </c>
      <c r="J29" s="28">
        <v>4</v>
      </c>
      <c r="K29" s="28">
        <v>1</v>
      </c>
      <c r="L29" s="27">
        <v>5</v>
      </c>
      <c r="M29" s="30"/>
      <c r="N29" s="27">
        <v>1</v>
      </c>
      <c r="O29" s="31"/>
      <c r="P29" s="27"/>
      <c r="Q29" s="31"/>
    </row>
    <row r="30" spans="2:17" outlineLevel="1" x14ac:dyDescent="0.25">
      <c r="C30" s="15" t="s">
        <v>20</v>
      </c>
      <c r="D30" s="30">
        <v>3</v>
      </c>
      <c r="E30" s="27">
        <v>2</v>
      </c>
      <c r="F30" s="28">
        <v>2</v>
      </c>
      <c r="G30" s="29"/>
      <c r="H30" s="28">
        <v>4</v>
      </c>
      <c r="I30" s="27">
        <v>4</v>
      </c>
      <c r="J30" s="28">
        <v>5</v>
      </c>
      <c r="K30" s="28">
        <v>4</v>
      </c>
      <c r="L30" s="27">
        <v>4</v>
      </c>
      <c r="M30" s="30"/>
      <c r="N30" s="27">
        <v>5</v>
      </c>
      <c r="O30" s="31"/>
      <c r="P30" s="27"/>
      <c r="Q30" s="31"/>
    </row>
    <row r="31" spans="2:17" outlineLevel="1" x14ac:dyDescent="0.25">
      <c r="D31" s="30"/>
      <c r="E31" s="27"/>
      <c r="F31" s="28"/>
      <c r="G31" s="29"/>
      <c r="H31" s="28"/>
      <c r="I31" s="27"/>
      <c r="J31" s="28"/>
      <c r="K31" s="28"/>
      <c r="L31" s="27"/>
      <c r="M31" s="30"/>
      <c r="N31" s="27"/>
      <c r="O31" s="31"/>
      <c r="P31" s="27"/>
      <c r="Q31" s="31"/>
    </row>
    <row r="32" spans="2:17" x14ac:dyDescent="0.25">
      <c r="B32" s="50" t="s">
        <v>23</v>
      </c>
      <c r="C32" s="50"/>
      <c r="D32" s="22">
        <f>AVERAGE(D34:D37)</f>
        <v>4</v>
      </c>
      <c r="E32" s="20">
        <f>AVERAGE(E34:E37)</f>
        <v>2.5</v>
      </c>
      <c r="F32" s="20">
        <f>AVERAGE(F34:F37)</f>
        <v>3.6666666666666665</v>
      </c>
      <c r="G32" s="21"/>
      <c r="H32" s="20">
        <f>AVERAGE(H34:H37)</f>
        <v>4.5</v>
      </c>
      <c r="I32" s="20">
        <f>AVERAGE(I34:I37)</f>
        <v>3</v>
      </c>
      <c r="J32" s="20">
        <f>AVERAGE(J34:J37)</f>
        <v>3.5</v>
      </c>
      <c r="K32" s="20">
        <f>AVERAGE(K34:K37)</f>
        <v>2.75</v>
      </c>
      <c r="L32" s="20">
        <f>AVERAGE(L34:L37)</f>
        <v>4</v>
      </c>
      <c r="M32" s="22"/>
      <c r="N32" s="20">
        <f>AVERAGE(N34:N37)</f>
        <v>3.5</v>
      </c>
      <c r="O32" s="20" t="e">
        <f>AVERAGE(O34:O37)</f>
        <v>#DIV/0!</v>
      </c>
      <c r="P32" s="20" t="e">
        <f>AVERAGE(P34:P37)</f>
        <v>#DIV/0!</v>
      </c>
      <c r="Q32" s="20" t="e">
        <f>AVERAGE(Q34:Q37)</f>
        <v>#DIV/0!</v>
      </c>
    </row>
    <row r="33" spans="2:17" x14ac:dyDescent="0.25">
      <c r="B33" s="49"/>
      <c r="C33" s="45" t="s">
        <v>59</v>
      </c>
      <c r="D33" s="35">
        <v>4</v>
      </c>
      <c r="E33" s="33">
        <v>4</v>
      </c>
      <c r="F33" s="33">
        <v>3</v>
      </c>
      <c r="G33" s="34"/>
      <c r="H33" s="33">
        <v>5</v>
      </c>
      <c r="I33" s="33">
        <v>5</v>
      </c>
      <c r="J33" s="33">
        <v>4</v>
      </c>
      <c r="K33" s="33">
        <v>4</v>
      </c>
      <c r="L33" s="33">
        <v>5</v>
      </c>
      <c r="M33" s="35"/>
      <c r="N33" s="33">
        <v>4</v>
      </c>
      <c r="O33" s="33"/>
      <c r="P33" s="33"/>
      <c r="Q33" s="33"/>
    </row>
    <row r="34" spans="2:17" outlineLevel="1" x14ac:dyDescent="0.25">
      <c r="C34" s="15" t="s">
        <v>57</v>
      </c>
      <c r="D34" s="32">
        <v>5</v>
      </c>
      <c r="E34" s="23">
        <v>5</v>
      </c>
      <c r="F34" s="24">
        <v>5</v>
      </c>
      <c r="G34" s="25"/>
      <c r="H34" s="24">
        <v>5</v>
      </c>
      <c r="I34" s="23">
        <v>5</v>
      </c>
      <c r="J34" s="24">
        <v>4</v>
      </c>
      <c r="K34" s="24">
        <v>3</v>
      </c>
      <c r="L34" s="23">
        <v>4</v>
      </c>
      <c r="M34" s="32"/>
      <c r="N34" s="23">
        <v>5</v>
      </c>
      <c r="O34" s="26"/>
      <c r="P34" s="23"/>
      <c r="Q34" s="26"/>
    </row>
    <row r="35" spans="2:17" outlineLevel="1" x14ac:dyDescent="0.25">
      <c r="C35" s="15" t="s">
        <v>58</v>
      </c>
      <c r="D35" s="30">
        <v>3</v>
      </c>
      <c r="E35" s="27">
        <v>3</v>
      </c>
      <c r="F35" s="28">
        <v>3</v>
      </c>
      <c r="G35" s="29"/>
      <c r="H35" s="28">
        <v>5</v>
      </c>
      <c r="I35" s="27">
        <v>2</v>
      </c>
      <c r="J35" s="28">
        <v>4</v>
      </c>
      <c r="K35" s="28">
        <v>2</v>
      </c>
      <c r="L35" s="27">
        <v>5</v>
      </c>
      <c r="M35" s="30"/>
      <c r="N35" s="27">
        <v>2</v>
      </c>
      <c r="O35" s="31"/>
      <c r="P35" s="27"/>
      <c r="Q35" s="31"/>
    </row>
    <row r="36" spans="2:17" outlineLevel="1" x14ac:dyDescent="0.25">
      <c r="C36" s="15" t="s">
        <v>60</v>
      </c>
      <c r="D36" s="32">
        <v>3</v>
      </c>
      <c r="E36" s="23">
        <v>1</v>
      </c>
      <c r="F36" s="24" t="s">
        <v>44</v>
      </c>
      <c r="G36" s="25"/>
      <c r="H36" s="24">
        <v>4</v>
      </c>
      <c r="I36" s="23">
        <v>3</v>
      </c>
      <c r="J36" s="24">
        <v>4</v>
      </c>
      <c r="K36" s="24">
        <v>2</v>
      </c>
      <c r="L36" s="23">
        <v>4</v>
      </c>
      <c r="M36" s="32"/>
      <c r="N36" s="23">
        <v>2</v>
      </c>
      <c r="O36" s="26"/>
      <c r="P36" s="23"/>
      <c r="Q36" s="26"/>
    </row>
    <row r="37" spans="2:17" outlineLevel="1" x14ac:dyDescent="0.25">
      <c r="C37" s="15" t="s">
        <v>7</v>
      </c>
      <c r="D37" s="30">
        <v>5</v>
      </c>
      <c r="E37" s="27">
        <v>1</v>
      </c>
      <c r="F37" s="28">
        <v>3</v>
      </c>
      <c r="G37" s="29"/>
      <c r="H37" s="28">
        <v>4</v>
      </c>
      <c r="I37" s="27">
        <v>2</v>
      </c>
      <c r="J37" s="28">
        <v>2</v>
      </c>
      <c r="K37" s="28">
        <v>4</v>
      </c>
      <c r="L37" s="27">
        <v>3</v>
      </c>
      <c r="M37" s="30"/>
      <c r="N37" s="27">
        <v>5</v>
      </c>
      <c r="O37" s="31"/>
      <c r="P37" s="27"/>
      <c r="Q37" s="31"/>
    </row>
    <row r="38" spans="2:17" outlineLevel="1" x14ac:dyDescent="0.25">
      <c r="D38" s="30"/>
      <c r="E38" s="27"/>
      <c r="F38" s="28"/>
      <c r="G38" s="29"/>
      <c r="H38" s="28"/>
      <c r="I38" s="27"/>
      <c r="J38" s="28"/>
      <c r="K38" s="28"/>
      <c r="L38" s="27"/>
      <c r="M38" s="30"/>
      <c r="N38" s="27"/>
      <c r="O38" s="31"/>
      <c r="P38" s="27"/>
      <c r="Q38" s="31"/>
    </row>
    <row r="39" spans="2:17" x14ac:dyDescent="0.25">
      <c r="B39" s="50" t="s">
        <v>22</v>
      </c>
      <c r="C39" s="50"/>
      <c r="D39" s="22">
        <f>AVERAGE(D40:D42)</f>
        <v>4</v>
      </c>
      <c r="E39" s="20">
        <f>AVERAGE(E40:E42)</f>
        <v>1.6666666666666667</v>
      </c>
      <c r="F39" s="20">
        <f t="shared" ref="F39:Q39" si="3">AVERAGE(F40:F42)</f>
        <v>1.6666666666666667</v>
      </c>
      <c r="G39" s="21"/>
      <c r="H39" s="20">
        <f t="shared" si="3"/>
        <v>3.3333333333333335</v>
      </c>
      <c r="I39" s="20">
        <f t="shared" si="3"/>
        <v>3.6666666666666665</v>
      </c>
      <c r="J39" s="20">
        <f t="shared" si="3"/>
        <v>3.3333333333333335</v>
      </c>
      <c r="K39" s="20">
        <f t="shared" si="3"/>
        <v>4.333333333333333</v>
      </c>
      <c r="L39" s="20">
        <f t="shared" si="3"/>
        <v>3</v>
      </c>
      <c r="M39" s="22"/>
      <c r="N39" s="20">
        <f t="shared" si="3"/>
        <v>3.3333333333333335</v>
      </c>
      <c r="O39" s="20" t="e">
        <f t="shared" si="3"/>
        <v>#DIV/0!</v>
      </c>
      <c r="P39" s="20" t="e">
        <f t="shared" si="3"/>
        <v>#DIV/0!</v>
      </c>
      <c r="Q39" s="20" t="e">
        <f t="shared" si="3"/>
        <v>#DIV/0!</v>
      </c>
    </row>
    <row r="40" spans="2:17" outlineLevel="1" x14ac:dyDescent="0.25">
      <c r="C40" s="15" t="s">
        <v>8</v>
      </c>
      <c r="D40" s="32">
        <v>5</v>
      </c>
      <c r="E40" s="23">
        <v>2</v>
      </c>
      <c r="F40" s="24">
        <v>3</v>
      </c>
      <c r="G40" s="25"/>
      <c r="H40" s="24">
        <v>4</v>
      </c>
      <c r="I40" s="23">
        <v>3</v>
      </c>
      <c r="J40" s="24">
        <v>4</v>
      </c>
      <c r="K40" s="24">
        <v>4</v>
      </c>
      <c r="L40" s="23">
        <v>3</v>
      </c>
      <c r="M40" s="32"/>
      <c r="N40" s="23">
        <v>4</v>
      </c>
      <c r="O40" s="26"/>
      <c r="P40" s="23"/>
      <c r="Q40" s="26"/>
    </row>
    <row r="41" spans="2:17" outlineLevel="1" x14ac:dyDescent="0.25">
      <c r="C41" s="15" t="s">
        <v>9</v>
      </c>
      <c r="D41" s="30">
        <v>4</v>
      </c>
      <c r="E41" s="27">
        <v>2</v>
      </c>
      <c r="F41" s="28">
        <v>1</v>
      </c>
      <c r="G41" s="29"/>
      <c r="H41" s="28">
        <v>3</v>
      </c>
      <c r="I41" s="27">
        <v>3</v>
      </c>
      <c r="J41" s="28">
        <v>3</v>
      </c>
      <c r="K41" s="28">
        <v>4</v>
      </c>
      <c r="L41" s="27">
        <v>3</v>
      </c>
      <c r="M41" s="30"/>
      <c r="N41" s="27">
        <v>3</v>
      </c>
      <c r="O41" s="31"/>
      <c r="P41" s="27"/>
      <c r="Q41" s="31"/>
    </row>
    <row r="42" spans="2:17" outlineLevel="1" x14ac:dyDescent="0.25">
      <c r="C42" s="15" t="s">
        <v>10</v>
      </c>
      <c r="D42" s="30">
        <v>3</v>
      </c>
      <c r="E42" s="27">
        <v>1</v>
      </c>
      <c r="F42" s="28">
        <v>1</v>
      </c>
      <c r="G42" s="29"/>
      <c r="H42" s="28">
        <v>3</v>
      </c>
      <c r="I42" s="27">
        <v>5</v>
      </c>
      <c r="J42" s="28">
        <v>3</v>
      </c>
      <c r="K42" s="28">
        <v>5</v>
      </c>
      <c r="L42" s="27">
        <v>3</v>
      </c>
      <c r="M42" s="30"/>
      <c r="N42" s="27">
        <v>3</v>
      </c>
      <c r="O42" s="31"/>
      <c r="P42" s="27"/>
      <c r="Q42" s="31"/>
    </row>
    <row r="43" spans="2:17" outlineLevel="1" x14ac:dyDescent="0.25">
      <c r="D43" s="30"/>
      <c r="E43" s="27"/>
      <c r="F43" s="28"/>
      <c r="G43" s="29"/>
      <c r="H43" s="28"/>
      <c r="I43" s="27"/>
      <c r="J43" s="28"/>
      <c r="K43" s="28"/>
      <c r="L43" s="27"/>
      <c r="M43" s="30"/>
      <c r="N43" s="27"/>
      <c r="O43" s="31"/>
      <c r="P43" s="27"/>
      <c r="Q43" s="31"/>
    </row>
    <row r="44" spans="2:17" x14ac:dyDescent="0.25">
      <c r="B44" s="50" t="s">
        <v>21</v>
      </c>
      <c r="C44" s="50"/>
      <c r="D44" s="22">
        <f>AVERAGE(D45:D48)</f>
        <v>4</v>
      </c>
      <c r="E44" s="20">
        <f>AVERAGE(E45:E48)</f>
        <v>1.75</v>
      </c>
      <c r="F44" s="20">
        <f t="shared" ref="F44:Q44" si="4">AVERAGE(F45:F48)</f>
        <v>4</v>
      </c>
      <c r="G44" s="21"/>
      <c r="H44" s="20">
        <f t="shared" si="4"/>
        <v>4</v>
      </c>
      <c r="I44" s="20">
        <f t="shared" si="4"/>
        <v>4.75</v>
      </c>
      <c r="J44" s="20">
        <f t="shared" si="4"/>
        <v>4.25</v>
      </c>
      <c r="K44" s="20">
        <f t="shared" si="4"/>
        <v>3.25</v>
      </c>
      <c r="L44" s="20">
        <f t="shared" si="4"/>
        <v>3.75</v>
      </c>
      <c r="M44" s="22"/>
      <c r="N44" s="20">
        <f t="shared" si="4"/>
        <v>2.5</v>
      </c>
      <c r="O44" s="20" t="e">
        <f t="shared" si="4"/>
        <v>#DIV/0!</v>
      </c>
      <c r="P44" s="20" t="e">
        <f t="shared" si="4"/>
        <v>#DIV/0!</v>
      </c>
      <c r="Q44" s="20" t="e">
        <f t="shared" si="4"/>
        <v>#DIV/0!</v>
      </c>
    </row>
    <row r="45" spans="2:17" outlineLevel="1" x14ac:dyDescent="0.25">
      <c r="C45" s="15" t="s">
        <v>24</v>
      </c>
      <c r="D45" s="32">
        <v>4</v>
      </c>
      <c r="E45" s="23">
        <v>2</v>
      </c>
      <c r="F45" s="24">
        <v>4</v>
      </c>
      <c r="G45" s="25"/>
      <c r="H45" s="24">
        <v>5</v>
      </c>
      <c r="I45" s="23">
        <v>4</v>
      </c>
      <c r="J45" s="24">
        <v>5</v>
      </c>
      <c r="K45" s="24">
        <v>5</v>
      </c>
      <c r="L45" s="24">
        <v>5</v>
      </c>
      <c r="M45" s="32"/>
      <c r="N45" s="23">
        <v>3</v>
      </c>
      <c r="O45" s="26"/>
      <c r="P45" s="23"/>
      <c r="Q45" s="26"/>
    </row>
    <row r="46" spans="2:17" outlineLevel="1" x14ac:dyDescent="0.25">
      <c r="C46" s="15" t="s">
        <v>25</v>
      </c>
      <c r="D46" s="30">
        <v>4</v>
      </c>
      <c r="E46" s="27">
        <v>2</v>
      </c>
      <c r="F46" s="28">
        <v>4</v>
      </c>
      <c r="G46" s="29"/>
      <c r="H46" s="28">
        <v>5</v>
      </c>
      <c r="I46" s="27">
        <v>5</v>
      </c>
      <c r="J46" s="28">
        <v>4</v>
      </c>
      <c r="K46" s="28">
        <v>3</v>
      </c>
      <c r="L46" s="28">
        <v>5</v>
      </c>
      <c r="M46" s="30"/>
      <c r="N46" s="27">
        <v>3</v>
      </c>
      <c r="O46" s="31"/>
      <c r="P46" s="27"/>
      <c r="Q46" s="31"/>
    </row>
    <row r="47" spans="2:17" outlineLevel="1" x14ac:dyDescent="0.25">
      <c r="C47" s="15" t="s">
        <v>26</v>
      </c>
      <c r="D47" s="30">
        <v>3</v>
      </c>
      <c r="E47" s="27">
        <v>2</v>
      </c>
      <c r="F47" s="28">
        <v>3</v>
      </c>
      <c r="G47" s="29"/>
      <c r="H47" s="28">
        <v>3</v>
      </c>
      <c r="I47" s="27">
        <v>5</v>
      </c>
      <c r="J47" s="28">
        <v>4</v>
      </c>
      <c r="K47" s="28">
        <v>3</v>
      </c>
      <c r="L47" s="28">
        <v>3</v>
      </c>
      <c r="M47" s="30"/>
      <c r="N47" s="27">
        <v>2</v>
      </c>
      <c r="O47" s="31"/>
      <c r="P47" s="27"/>
      <c r="Q47" s="31"/>
    </row>
    <row r="48" spans="2:17" outlineLevel="1" x14ac:dyDescent="0.25">
      <c r="C48" s="15" t="s">
        <v>27</v>
      </c>
      <c r="D48" s="30">
        <v>5</v>
      </c>
      <c r="E48" s="27">
        <v>1</v>
      </c>
      <c r="F48" s="28">
        <v>5</v>
      </c>
      <c r="G48" s="29"/>
      <c r="H48" s="28">
        <v>3</v>
      </c>
      <c r="I48" s="27">
        <v>5</v>
      </c>
      <c r="J48" s="28">
        <v>4</v>
      </c>
      <c r="K48" s="28">
        <v>2</v>
      </c>
      <c r="L48" s="28">
        <v>2</v>
      </c>
      <c r="M48" s="30"/>
      <c r="N48" s="27">
        <v>2</v>
      </c>
      <c r="O48" s="31"/>
      <c r="P48" s="27"/>
      <c r="Q48" s="31"/>
    </row>
    <row r="49" spans="2:17" outlineLevel="1" x14ac:dyDescent="0.25">
      <c r="D49" s="30"/>
      <c r="E49" s="27"/>
      <c r="F49" s="28"/>
      <c r="G49" s="29"/>
      <c r="H49" s="28"/>
      <c r="I49" s="27"/>
      <c r="J49" s="28"/>
      <c r="K49" s="28"/>
      <c r="L49" s="27"/>
      <c r="M49" s="30"/>
      <c r="N49" s="27"/>
      <c r="O49" s="31"/>
      <c r="P49" s="27"/>
      <c r="Q49" s="31"/>
    </row>
    <row r="50" spans="2:17" x14ac:dyDescent="0.25">
      <c r="B50" s="50" t="s">
        <v>55</v>
      </c>
      <c r="C50" s="50"/>
      <c r="D50" s="22" t="e">
        <f>AVERAGE(D51:D53)</f>
        <v>#DIV/0!</v>
      </c>
      <c r="E50" s="20" t="e">
        <f>AVERAGE(E51:E53)</f>
        <v>#DIV/0!</v>
      </c>
      <c r="F50" s="20" t="e">
        <f t="shared" ref="F50:N50" si="5">AVERAGE(F51:F53)</f>
        <v>#DIV/0!</v>
      </c>
      <c r="G50" s="21"/>
      <c r="H50" s="20" t="e">
        <f t="shared" si="5"/>
        <v>#DIV/0!</v>
      </c>
      <c r="I50" s="20" t="e">
        <f t="shared" si="5"/>
        <v>#DIV/0!</v>
      </c>
      <c r="J50" s="20" t="e">
        <f t="shared" si="5"/>
        <v>#DIV/0!</v>
      </c>
      <c r="K50" s="20"/>
      <c r="L50" s="20" t="e">
        <f t="shared" si="5"/>
        <v>#DIV/0!</v>
      </c>
      <c r="M50" s="22" t="e">
        <f t="shared" si="5"/>
        <v>#DIV/0!</v>
      </c>
      <c r="N50" s="20" t="e">
        <f t="shared" si="5"/>
        <v>#DIV/0!</v>
      </c>
      <c r="O50" s="20">
        <f t="shared" ref="O50" si="6">AVERAGE(O51:O53)</f>
        <v>4</v>
      </c>
      <c r="P50" s="20">
        <f t="shared" ref="P50" si="7">AVERAGE(P51:P53)</f>
        <v>3</v>
      </c>
      <c r="Q50" s="20">
        <f t="shared" ref="Q50" si="8">AVERAGE(Q51:Q53)</f>
        <v>4.666666666666667</v>
      </c>
    </row>
    <row r="51" spans="2:17" outlineLevel="2" x14ac:dyDescent="0.25">
      <c r="C51" s="15" t="s">
        <v>28</v>
      </c>
      <c r="D51" s="32"/>
      <c r="E51" s="23"/>
      <c r="F51" s="24"/>
      <c r="G51" s="25"/>
      <c r="H51" s="24"/>
      <c r="I51" s="23"/>
      <c r="J51" s="24"/>
      <c r="K51" s="24"/>
      <c r="L51" s="23"/>
      <c r="M51" s="32"/>
      <c r="N51" s="23"/>
      <c r="O51" s="26">
        <v>3</v>
      </c>
      <c r="P51" s="23">
        <v>3</v>
      </c>
      <c r="Q51" s="26">
        <v>5</v>
      </c>
    </row>
    <row r="52" spans="2:17" outlineLevel="2" x14ac:dyDescent="0.25">
      <c r="C52" s="15" t="s">
        <v>29</v>
      </c>
      <c r="D52" s="30"/>
      <c r="E52" s="27"/>
      <c r="F52" s="28"/>
      <c r="G52" s="29"/>
      <c r="H52" s="28"/>
      <c r="I52" s="27"/>
      <c r="J52" s="28"/>
      <c r="K52" s="28"/>
      <c r="L52" s="27"/>
      <c r="M52" s="30"/>
      <c r="N52" s="27"/>
      <c r="O52" s="31">
        <v>5</v>
      </c>
      <c r="P52" s="27"/>
      <c r="Q52" s="31">
        <v>5</v>
      </c>
    </row>
    <row r="53" spans="2:17" outlineLevel="2" x14ac:dyDescent="0.25">
      <c r="C53" s="15" t="s">
        <v>30</v>
      </c>
      <c r="D53" s="30"/>
      <c r="E53" s="27"/>
      <c r="F53" s="28"/>
      <c r="G53" s="29"/>
      <c r="H53" s="28"/>
      <c r="I53" s="27"/>
      <c r="J53" s="28"/>
      <c r="K53" s="28"/>
      <c r="L53" s="27"/>
      <c r="M53" s="30"/>
      <c r="N53" s="27"/>
      <c r="O53" s="31"/>
      <c r="P53" s="27"/>
      <c r="Q53" s="31">
        <v>4</v>
      </c>
    </row>
    <row r="54" spans="2:17" outlineLevel="2" x14ac:dyDescent="0.25">
      <c r="D54" s="30"/>
      <c r="E54" s="27"/>
      <c r="F54" s="28"/>
      <c r="G54" s="29"/>
      <c r="H54" s="28"/>
      <c r="I54" s="27"/>
      <c r="J54" s="28"/>
      <c r="K54" s="28"/>
      <c r="L54" s="27"/>
      <c r="M54" s="30"/>
      <c r="N54" s="27"/>
      <c r="O54" s="31"/>
      <c r="P54" s="27"/>
      <c r="Q54" s="31"/>
    </row>
    <row r="55" spans="2:17" x14ac:dyDescent="0.25">
      <c r="B55" s="50" t="s">
        <v>54</v>
      </c>
      <c r="C55" s="50"/>
      <c r="D55" s="22" t="e">
        <f>AVERAGE(D56:D60)</f>
        <v>#DIV/0!</v>
      </c>
      <c r="E55" s="20" t="e">
        <f>AVERAGE(E56:E60)</f>
        <v>#DIV/0!</v>
      </c>
      <c r="F55" s="20" t="e">
        <f t="shared" ref="F55:Q55" si="9">AVERAGE(F56:F60)</f>
        <v>#DIV/0!</v>
      </c>
      <c r="G55" s="21"/>
      <c r="H55" s="20" t="e">
        <f t="shared" si="9"/>
        <v>#DIV/0!</v>
      </c>
      <c r="I55" s="20" t="e">
        <f t="shared" si="9"/>
        <v>#DIV/0!</v>
      </c>
      <c r="J55" s="20" t="e">
        <f t="shared" si="9"/>
        <v>#DIV/0!</v>
      </c>
      <c r="K55" s="20"/>
      <c r="L55" s="20" t="e">
        <f t="shared" si="9"/>
        <v>#DIV/0!</v>
      </c>
      <c r="M55" s="22" t="e">
        <f t="shared" si="9"/>
        <v>#DIV/0!</v>
      </c>
      <c r="N55" s="20">
        <f t="shared" si="9"/>
        <v>3.5</v>
      </c>
      <c r="O55" s="20" t="e">
        <f t="shared" si="9"/>
        <v>#DIV/0!</v>
      </c>
      <c r="P55" s="20">
        <f t="shared" si="9"/>
        <v>5</v>
      </c>
      <c r="Q55" s="20" t="e">
        <f t="shared" si="9"/>
        <v>#DIV/0!</v>
      </c>
    </row>
    <row r="56" spans="2:17" outlineLevel="1" x14ac:dyDescent="0.25">
      <c r="C56" s="15" t="s">
        <v>31</v>
      </c>
      <c r="D56" s="32"/>
      <c r="E56" s="23"/>
      <c r="F56" s="24"/>
      <c r="G56" s="25"/>
      <c r="H56" s="24"/>
      <c r="I56" s="23"/>
      <c r="J56" s="24"/>
      <c r="K56" s="24">
        <v>5</v>
      </c>
      <c r="L56" s="23"/>
      <c r="M56" s="32"/>
      <c r="N56" s="23">
        <v>5</v>
      </c>
      <c r="O56" s="26"/>
      <c r="P56" s="23"/>
      <c r="Q56" s="26"/>
    </row>
    <row r="57" spans="2:17" outlineLevel="1" x14ac:dyDescent="0.25">
      <c r="C57" s="15" t="s">
        <v>11</v>
      </c>
      <c r="D57" s="30"/>
      <c r="E57" s="27"/>
      <c r="F57" s="28"/>
      <c r="G57" s="29"/>
      <c r="H57" s="28"/>
      <c r="I57" s="27"/>
      <c r="J57" s="28"/>
      <c r="K57" s="28">
        <v>2</v>
      </c>
      <c r="L57" s="27"/>
      <c r="M57" s="30"/>
      <c r="N57" s="27">
        <v>2</v>
      </c>
      <c r="O57" s="31"/>
      <c r="P57" s="27"/>
      <c r="Q57" s="31"/>
    </row>
    <row r="58" spans="2:17" outlineLevel="1" x14ac:dyDescent="0.25">
      <c r="C58" s="15" t="s">
        <v>32</v>
      </c>
      <c r="D58" s="30"/>
      <c r="E58" s="27"/>
      <c r="F58" s="28"/>
      <c r="G58" s="29"/>
      <c r="H58" s="28"/>
      <c r="I58" s="27"/>
      <c r="J58" s="28"/>
      <c r="K58" s="28"/>
      <c r="L58" s="27"/>
      <c r="M58" s="30"/>
      <c r="N58" s="27"/>
      <c r="O58" s="31"/>
      <c r="P58" s="27">
        <v>5</v>
      </c>
      <c r="Q58" s="31"/>
    </row>
    <row r="59" spans="2:17" outlineLevel="1" x14ac:dyDescent="0.25">
      <c r="C59" s="15" t="s">
        <v>33</v>
      </c>
      <c r="D59" s="30"/>
      <c r="E59" s="27"/>
      <c r="F59" s="28"/>
      <c r="G59" s="29"/>
      <c r="H59" s="28"/>
      <c r="I59" s="27"/>
      <c r="J59" s="28"/>
      <c r="K59" s="28"/>
      <c r="L59" s="27"/>
      <c r="M59" s="30"/>
      <c r="N59" s="27"/>
      <c r="O59" s="31"/>
      <c r="P59" s="27">
        <v>5</v>
      </c>
      <c r="Q59" s="31"/>
    </row>
    <row r="60" spans="2:17" outlineLevel="1" x14ac:dyDescent="0.25">
      <c r="C60" s="15" t="s">
        <v>12</v>
      </c>
      <c r="D60" s="30"/>
      <c r="E60" s="27"/>
      <c r="F60" s="28"/>
      <c r="G60" s="29"/>
      <c r="H60" s="28"/>
      <c r="I60" s="27"/>
      <c r="J60" s="28"/>
      <c r="K60" s="28"/>
      <c r="L60" s="27"/>
      <c r="M60" s="30"/>
      <c r="N60" s="27"/>
      <c r="O60" s="31"/>
      <c r="P60" s="27">
        <v>5</v>
      </c>
      <c r="Q60" s="31"/>
    </row>
    <row r="61" spans="2:17" x14ac:dyDescent="0.25">
      <c r="M61" s="17"/>
    </row>
    <row r="62" spans="2:17" x14ac:dyDescent="0.25">
      <c r="M62" s="17"/>
    </row>
    <row r="63" spans="2:17" x14ac:dyDescent="0.25">
      <c r="M63" s="17"/>
    </row>
    <row r="64" spans="2:17" x14ac:dyDescent="0.25">
      <c r="M64" s="17"/>
    </row>
  </sheetData>
  <conditionalFormatting sqref="D51:P60 D5:P8 D50:Q50 D9:Q9 D10:P4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:Q60 Q5:Q8 Q10:Q4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B859-C486-4700-95E2-962B025805A0}">
  <dimension ref="A1:D31"/>
  <sheetViews>
    <sheetView showGridLines="0" workbookViewId="0">
      <selection activeCell="B20" sqref="B20"/>
    </sheetView>
  </sheetViews>
  <sheetFormatPr defaultRowHeight="15" x14ac:dyDescent="0.25"/>
  <cols>
    <col min="1" max="1" width="1.42578125" customWidth="1"/>
    <col min="2" max="2" width="1" style="39" customWidth="1"/>
    <col min="3" max="3" width="4.28515625" style="38" customWidth="1"/>
    <col min="4" max="4" width="155" style="37" customWidth="1"/>
  </cols>
  <sheetData>
    <row r="1" spans="1:4" s="1" customFormat="1" x14ac:dyDescent="0.25">
      <c r="A1" s="43" t="s">
        <v>87</v>
      </c>
      <c r="B1" s="40"/>
      <c r="C1" s="41"/>
      <c r="D1" s="42"/>
    </row>
    <row r="2" spans="1:4" s="1" customFormat="1" x14ac:dyDescent="0.25">
      <c r="B2" s="40"/>
      <c r="C2" s="41"/>
      <c r="D2" s="42"/>
    </row>
    <row r="3" spans="1:4" x14ac:dyDescent="0.25">
      <c r="B3" s="39" t="s">
        <v>68</v>
      </c>
      <c r="C3" s="39"/>
      <c r="D3" s="39"/>
    </row>
    <row r="4" spans="1:4" x14ac:dyDescent="0.25">
      <c r="C4" s="38" t="s">
        <v>69</v>
      </c>
    </row>
    <row r="5" spans="1:4" x14ac:dyDescent="0.25">
      <c r="D5" s="37" t="s">
        <v>61</v>
      </c>
    </row>
    <row r="6" spans="1:4" x14ac:dyDescent="0.25">
      <c r="D6" s="37" t="s">
        <v>62</v>
      </c>
    </row>
    <row r="7" spans="1:4" x14ac:dyDescent="0.25">
      <c r="D7" s="37" t="s">
        <v>75</v>
      </c>
    </row>
    <row r="8" spans="1:4" x14ac:dyDescent="0.25">
      <c r="D8" s="37" t="s">
        <v>63</v>
      </c>
    </row>
    <row r="9" spans="1:4" x14ac:dyDescent="0.25">
      <c r="C9" s="38" t="s">
        <v>64</v>
      </c>
    </row>
    <row r="10" spans="1:4" x14ac:dyDescent="0.25">
      <c r="D10" s="37" t="s">
        <v>65</v>
      </c>
    </row>
    <row r="11" spans="1:4" x14ac:dyDescent="0.25">
      <c r="D11" s="37" t="s">
        <v>66</v>
      </c>
    </row>
    <row r="12" spans="1:4" x14ac:dyDescent="0.25">
      <c r="D12" s="37" t="s">
        <v>74</v>
      </c>
    </row>
    <row r="13" spans="1:4" x14ac:dyDescent="0.25">
      <c r="D13" s="37" t="s">
        <v>67</v>
      </c>
    </row>
    <row r="14" spans="1:4" x14ac:dyDescent="0.25">
      <c r="C14" s="38" t="s">
        <v>70</v>
      </c>
    </row>
    <row r="15" spans="1:4" x14ac:dyDescent="0.25">
      <c r="D15" s="37" t="s">
        <v>71</v>
      </c>
    </row>
    <row r="16" spans="1:4" x14ac:dyDescent="0.25">
      <c r="D16" s="37" t="s">
        <v>72</v>
      </c>
    </row>
    <row r="17" spans="2:4" x14ac:dyDescent="0.25">
      <c r="D17" s="37" t="s">
        <v>73</v>
      </c>
    </row>
    <row r="18" spans="2:4" x14ac:dyDescent="0.25">
      <c r="C18" s="38" t="s">
        <v>76</v>
      </c>
    </row>
    <row r="19" spans="2:4" x14ac:dyDescent="0.25">
      <c r="D19" s="37" t="s">
        <v>73</v>
      </c>
    </row>
    <row r="20" spans="2:4" x14ac:dyDescent="0.25">
      <c r="B20" s="40"/>
    </row>
    <row r="21" spans="2:4" x14ac:dyDescent="0.25">
      <c r="B21" s="39" t="s">
        <v>86</v>
      </c>
      <c r="C21" s="39"/>
      <c r="D21" s="39"/>
    </row>
    <row r="22" spans="2:4" x14ac:dyDescent="0.25">
      <c r="C22" s="38" t="s">
        <v>64</v>
      </c>
    </row>
    <row r="23" spans="2:4" x14ac:dyDescent="0.25">
      <c r="D23" s="36" t="s">
        <v>77</v>
      </c>
    </row>
    <row r="24" spans="2:4" x14ac:dyDescent="0.25">
      <c r="D24" s="36" t="s">
        <v>78</v>
      </c>
    </row>
    <row r="25" spans="2:4" x14ac:dyDescent="0.25">
      <c r="D25" s="36" t="s">
        <v>79</v>
      </c>
    </row>
    <row r="26" spans="2:4" x14ac:dyDescent="0.25">
      <c r="D26" s="36" t="s">
        <v>80</v>
      </c>
    </row>
    <row r="27" spans="2:4" x14ac:dyDescent="0.25">
      <c r="C27" s="38" t="s">
        <v>81</v>
      </c>
    </row>
    <row r="28" spans="2:4" x14ac:dyDescent="0.25">
      <c r="D28" s="36" t="s">
        <v>82</v>
      </c>
    </row>
    <row r="29" spans="2:4" x14ac:dyDescent="0.25">
      <c r="D29" s="36" t="s">
        <v>83</v>
      </c>
    </row>
    <row r="30" spans="2:4" x14ac:dyDescent="0.25">
      <c r="C30" s="38" t="s">
        <v>84</v>
      </c>
    </row>
    <row r="31" spans="2:4" x14ac:dyDescent="0.25">
      <c r="D31" s="36" t="s">
        <v>85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Rating Chart</vt:lpstr>
      <vt:lpstr>Short -Reports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florent@prisse.com</dc:creator>
  <cp:lastModifiedBy>florent@prisse.com</cp:lastModifiedBy>
  <dcterms:created xsi:type="dcterms:W3CDTF">2018-07-24T01:01:27Z</dcterms:created>
  <dcterms:modified xsi:type="dcterms:W3CDTF">2018-07-24T13:58:53Z</dcterms:modified>
</cp:coreProperties>
</file>